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cto\OneDrive\Escritorio\ITESO\6to Semestre\AdR\Tareas\"/>
    </mc:Choice>
  </mc:AlternateContent>
  <xr:revisionPtr revIDLastSave="0" documentId="13_ncr:1_{E922E3ED-8BFB-4DF5-9E21-32F9CD0D1A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bl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D6" i="1"/>
  <c r="E6" i="1" s="1"/>
  <c r="C6" i="1"/>
  <c r="D5" i="1"/>
  <c r="E5" i="1" s="1"/>
  <c r="F5" i="1" s="1"/>
  <c r="C5" i="1"/>
  <c r="I5" i="1" s="1"/>
  <c r="H5" i="1" l="1"/>
  <c r="J5" i="1"/>
  <c r="L7" i="1"/>
</calcChain>
</file>

<file path=xl/sharedStrings.xml><?xml version="1.0" encoding="utf-8"?>
<sst xmlns="http://schemas.openxmlformats.org/spreadsheetml/2006/main" count="24" uniqueCount="23">
  <si>
    <t>Variation</t>
  </si>
  <si>
    <t>Degrees of freedom</t>
  </si>
  <si>
    <t>Sum of Squares</t>
  </si>
  <si>
    <t>Variance</t>
  </si>
  <si>
    <t>F</t>
  </si>
  <si>
    <t>Table F</t>
  </si>
  <si>
    <t>p-value</t>
  </si>
  <si>
    <t>Hypothesis</t>
  </si>
  <si>
    <t>Between treatments</t>
  </si>
  <si>
    <t>H0:</t>
  </si>
  <si>
    <t>H0: μNone = μFertilizer = μSeedVarieties = μIrrigation (the mean weight is the same for all four treatments)</t>
  </si>
  <si>
    <t>Within treatments</t>
  </si>
  <si>
    <t>H1:</t>
  </si>
  <si>
    <t>H1: at least one treatment mean is different from the others</t>
  </si>
  <si>
    <t>Total</t>
  </si>
  <si>
    <t>Conclusion</t>
  </si>
  <si>
    <t>Weight (Kg)</t>
  </si>
  <si>
    <t>Observation</t>
  </si>
  <si>
    <t>Treatment</t>
  </si>
  <si>
    <t>None</t>
  </si>
  <si>
    <t>Fertilizer</t>
  </si>
  <si>
    <t>Seed Varieties</t>
  </si>
  <si>
    <t>Irrigation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</si>
</sst>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rgb="FF7F7F7F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color theme="8" tint="-0.499984740745262"/>
      <name val="Calibri"/>
      <family val="2"/>
      <scheme val="minor"/>
    </font>
    <font>
      <sz val="16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 vertical="center" wrapText="1" readingOrder="1"/>
    </xf>
    <xf numFmtId="0" fontId="2" fillId="5" borderId="2" xfId="0" applyFont="1" applyFill="1" applyBorder="1" applyAlignment="1">
      <alignment horizontal="center" vertical="center" wrapText="1" readingOrder="1"/>
    </xf>
    <xf numFmtId="0" fontId="2" fillId="5" borderId="3" xfId="0" applyFont="1" applyFill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2" fontId="4" fillId="0" borderId="4" xfId="0" applyNumberFormat="1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2" fontId="6" fillId="2" borderId="0" xfId="0" applyNumberFormat="1" applyFont="1" applyFill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 wrapText="1" readingOrder="1"/>
    </xf>
    <xf numFmtId="0" fontId="9" fillId="0" borderId="0" xfId="0" applyFont="1" applyAlignment="1">
      <alignment horizontal="center" vertical="center" wrapText="1" readingOrder="1"/>
    </xf>
    <xf numFmtId="0" fontId="8" fillId="0" borderId="9" xfId="0" applyFont="1" applyBorder="1" applyAlignment="1">
      <alignment horizontal="center" readingOrder="1"/>
    </xf>
    <xf numFmtId="0" fontId="8" fillId="0" borderId="0" xfId="0" applyFont="1" applyAlignment="1">
      <alignment horizontal="center" readingOrder="1"/>
    </xf>
    <xf numFmtId="0" fontId="8" fillId="0" borderId="10" xfId="0" applyFont="1" applyBorder="1" applyAlignment="1">
      <alignment horizontal="center" readingOrder="1"/>
    </xf>
    <xf numFmtId="0" fontId="8" fillId="4" borderId="9" xfId="0" applyFont="1" applyFill="1" applyBorder="1" applyAlignment="1">
      <alignment horizontal="center" readingOrder="1"/>
    </xf>
    <xf numFmtId="0" fontId="8" fillId="4" borderId="0" xfId="0" applyFont="1" applyFill="1" applyAlignment="1">
      <alignment horizontal="center" readingOrder="1"/>
    </xf>
    <xf numFmtId="0" fontId="8" fillId="4" borderId="10" xfId="0" applyFont="1" applyFill="1" applyBorder="1" applyAlignment="1">
      <alignment horizontal="center" readingOrder="1"/>
    </xf>
    <xf numFmtId="0" fontId="8" fillId="0" borderId="11" xfId="0" applyFont="1" applyBorder="1" applyAlignment="1">
      <alignment horizontal="center" readingOrder="1"/>
    </xf>
    <xf numFmtId="0" fontId="8" fillId="0" borderId="5" xfId="0" applyFont="1" applyBorder="1" applyAlignment="1">
      <alignment horizontal="center" readingOrder="1"/>
    </xf>
    <xf numFmtId="0" fontId="8" fillId="0" borderId="12" xfId="0" applyFont="1" applyBorder="1" applyAlignment="1">
      <alignment horizontal="center" readingOrder="1"/>
    </xf>
    <xf numFmtId="2" fontId="4" fillId="2" borderId="4" xfId="0" applyNumberFormat="1" applyFont="1" applyFill="1" applyBorder="1" applyAlignment="1">
      <alignment horizontal="center" vertical="center" wrapText="1" readingOrder="1"/>
    </xf>
    <xf numFmtId="0" fontId="10" fillId="6" borderId="0" xfId="0" applyFont="1" applyFill="1" applyAlignment="1">
      <alignment horizontal="center" vertical="center" wrapText="1" readingOrder="1"/>
    </xf>
    <xf numFmtId="0" fontId="10" fillId="6" borderId="10" xfId="0" applyFont="1" applyFill="1" applyBorder="1" applyAlignment="1">
      <alignment horizontal="center" vertical="center" wrapText="1" readingOrder="1"/>
    </xf>
    <xf numFmtId="2" fontId="4" fillId="6" borderId="4" xfId="0" applyNumberFormat="1" applyFont="1" applyFill="1" applyBorder="1" applyAlignment="1">
      <alignment horizontal="center" vertical="center" wrapText="1" readingOrder="1"/>
    </xf>
    <xf numFmtId="11" fontId="12" fillId="0" borderId="0" xfId="0" applyNumberFormat="1" applyFont="1" applyAlignment="1">
      <alignment horizontal="center"/>
    </xf>
    <xf numFmtId="0" fontId="13" fillId="0" borderId="14" xfId="0" applyFont="1" applyBorder="1" applyAlignment="1">
      <alignment vertical="top" wrapText="1"/>
    </xf>
    <xf numFmtId="0" fontId="0" fillId="0" borderId="0" xfId="0"/>
    <xf numFmtId="0" fontId="0" fillId="0" borderId="14" xfId="0" applyBorder="1"/>
    <xf numFmtId="0" fontId="11" fillId="0" borderId="5" xfId="0" applyFont="1" applyBorder="1" applyAlignment="1">
      <alignment horizontal="center" readingOrder="1"/>
    </xf>
    <xf numFmtId="0" fontId="0" fillId="0" borderId="5" xfId="0" applyBorder="1"/>
    <xf numFmtId="0" fontId="7" fillId="5" borderId="8" xfId="0" applyFont="1" applyFill="1" applyBorder="1" applyAlignment="1">
      <alignment horizontal="center" vertical="center" readingOrder="1"/>
    </xf>
    <xf numFmtId="0" fontId="0" fillId="0" borderId="7" xfId="0" applyBorder="1"/>
    <xf numFmtId="0" fontId="0" fillId="0" borderId="8" xfId="0" applyBorder="1"/>
    <xf numFmtId="0" fontId="7" fillId="3" borderId="6" xfId="0" applyFont="1" applyFill="1" applyBorder="1" applyAlignment="1">
      <alignment horizontal="center" vertical="center" readingOrder="1"/>
    </xf>
    <xf numFmtId="0" fontId="0" fillId="0" borderId="9" xfId="0" applyBorder="1"/>
    <xf numFmtId="0" fontId="13" fillId="0" borderId="17" xfId="0" applyFont="1" applyBorder="1" applyAlignment="1">
      <alignment vertical="top" wrapText="1"/>
    </xf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199292</xdr:colOff>
      <xdr:row>7</xdr:row>
      <xdr:rowOff>166075</xdr:rowOff>
    </xdr:from>
    <xdr:to>
      <xdr:col>6</xdr:col>
      <xdr:colOff>156199</xdr:colOff>
      <xdr:row>23</xdr:row>
      <xdr:rowOff>35169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292" y="3049952"/>
          <a:ext cx="10460784" cy="421835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O18"/>
  <sheetViews>
    <sheetView showGridLines="0" tabSelected="1" zoomScale="60" workbookViewId="0">
      <selection activeCell="L7" sqref="L7:O7"/>
    </sheetView>
  </sheetViews>
  <sheetFormatPr baseColWidth="10" defaultColWidth="8.88671875" defaultRowHeight="21" x14ac:dyDescent="0.4"/>
  <cols>
    <col min="1" max="1" width="3" style="1" customWidth="1"/>
    <col min="2" max="2" width="33.77734375" style="17" customWidth="1"/>
    <col min="3" max="6" width="29" style="17" customWidth="1"/>
    <col min="7" max="8" width="8.88671875" style="1" customWidth="1"/>
    <col min="9" max="9" width="13.6640625" style="1" customWidth="1"/>
    <col min="10" max="10" width="12.109375" style="1" bestFit="1" customWidth="1"/>
    <col min="11" max="11" width="19.88671875" style="1" customWidth="1"/>
    <col min="12" max="12" width="30" style="1" customWidth="1"/>
    <col min="13" max="15" width="16" customWidth="1"/>
    <col min="16" max="16" width="8.88671875" style="1" customWidth="1"/>
    <col min="17" max="16384" width="8.88671875" style="1"/>
  </cols>
  <sheetData>
    <row r="4" spans="2:15" ht="36" customHeight="1" x14ac:dyDescent="0.4">
      <c r="B4" s="2" t="s">
        <v>0</v>
      </c>
      <c r="C4" s="3" t="s">
        <v>1</v>
      </c>
      <c r="D4" s="3" t="s">
        <v>2</v>
      </c>
      <c r="E4" s="3" t="s">
        <v>3</v>
      </c>
      <c r="F4" s="4" t="s">
        <v>4</v>
      </c>
      <c r="H4" s="10" t="s">
        <v>4</v>
      </c>
      <c r="I4" s="10" t="s">
        <v>5</v>
      </c>
      <c r="J4" s="10" t="s">
        <v>6</v>
      </c>
      <c r="K4" s="11" t="s">
        <v>7</v>
      </c>
      <c r="L4" s="12"/>
      <c r="M4" s="12"/>
      <c r="N4" s="12"/>
      <c r="O4" s="13"/>
    </row>
    <row r="5" spans="2:15" ht="30" customHeight="1" x14ac:dyDescent="0.4">
      <c r="B5" s="5" t="s">
        <v>8</v>
      </c>
      <c r="C5" s="6">
        <f>COUNTA(L13:O13)-1</f>
        <v>3</v>
      </c>
      <c r="D5" s="7">
        <f>(COUNT(L14:L18)*(AVERAGE(L14:L18)-AVERAGE($L$14:$O$18))^2)+(COUNT(M14:M18)*(AVERAGE(M14:M18)-AVERAGE($L$14:$O$18))^2)+(COUNT(N14:N18)*(AVERAGE(N14:N18)-AVERAGE($L$14:$O$18))^2)+(COUNT(O14:O18)*(AVERAGE(O14:O18)-AVERAGE($L$14:$O$18))^2)</f>
        <v>6.9029799999999994</v>
      </c>
      <c r="E5" s="7">
        <f>D5/C5</f>
        <v>2.300993333333333</v>
      </c>
      <c r="F5" s="33">
        <f>E5/E6</f>
        <v>26.716128220757991</v>
      </c>
      <c r="H5" s="14">
        <f>F5</f>
        <v>26.716128220757991</v>
      </c>
      <c r="I5" s="10">
        <f>FINV(0.05,C5,C6)</f>
        <v>3.2388715174535854</v>
      </c>
      <c r="J5" s="34">
        <f>FDIST(F5,C5,C6)</f>
        <v>1.81213934696201E-6</v>
      </c>
      <c r="K5" s="15" t="s">
        <v>9</v>
      </c>
      <c r="L5" s="35" t="s">
        <v>10</v>
      </c>
      <c r="M5" s="36"/>
      <c r="N5" s="36"/>
      <c r="O5" s="37"/>
    </row>
    <row r="6" spans="2:15" ht="18" customHeight="1" x14ac:dyDescent="0.4">
      <c r="B6" s="5" t="s">
        <v>11</v>
      </c>
      <c r="C6" s="6">
        <f>COUNT(L14:O18)-COUNTA(L13:O13)</f>
        <v>16</v>
      </c>
      <c r="D6" s="7">
        <f>DEVSQ(L14:L18)+DEVSQ(M14:M18)+DEVSQ(N14:N18)+DEVSQ(O14:O18)</f>
        <v>1.3780399999999995</v>
      </c>
      <c r="E6" s="7">
        <f>D6/C6</f>
        <v>8.6127499999999968E-2</v>
      </c>
      <c r="F6" s="9"/>
      <c r="K6" s="15" t="s">
        <v>12</v>
      </c>
      <c r="L6" s="35" t="s">
        <v>13</v>
      </c>
      <c r="M6" s="36"/>
      <c r="N6" s="36"/>
      <c r="O6" s="37"/>
    </row>
    <row r="7" spans="2:15" ht="60" customHeight="1" x14ac:dyDescent="0.4">
      <c r="B7" s="8" t="s">
        <v>14</v>
      </c>
      <c r="C7" s="6">
        <f>C5+C6</f>
        <v>19</v>
      </c>
      <c r="D7" s="7">
        <f>DEVSQ(L14:O18)</f>
        <v>8.281019999999998</v>
      </c>
      <c r="E7" s="30"/>
      <c r="F7" s="9"/>
      <c r="K7" s="16" t="s">
        <v>15</v>
      </c>
      <c r="L7" s="45" t="str">
        <f>IF(F5&gt;I5,"Reject H0. F calculated ("&amp;TEXT(F5,"0.00")&amp;") is greater than F critical ("&amp;TEXT(I5,"0.00")&amp;") at α = 0.05 (p = "&amp;TEXT(J5,"0.00E+00")&amp;"), so at least one treatment mean is significantly different from the others.","Fail to reject H0. F calculated ("&amp;TEXT(F5,"0.00")&amp;") does not exceed F critical ("&amp;TEXT(I5,"0.00")&amp;") at α = 0.05, so there is not enough evidence that the treatment means differ.")</f>
        <v>Reject H0. F calculated (26.72) is greater than F critical (3.24) at α = 0.05 (p = 1.81E-06), so at least one treatment mean is significantly different from the others.</v>
      </c>
      <c r="M7" s="46"/>
      <c r="N7" s="46"/>
      <c r="O7" s="47"/>
    </row>
    <row r="11" spans="2:15" ht="25.2" customHeight="1" x14ac:dyDescent="0.4">
      <c r="K11" s="38" t="s">
        <v>16</v>
      </c>
      <c r="L11" s="39"/>
      <c r="M11" s="39"/>
      <c r="N11" s="39"/>
      <c r="O11" s="39"/>
    </row>
    <row r="12" spans="2:15" ht="20.399999999999999" customHeight="1" x14ac:dyDescent="0.4">
      <c r="K12" s="43" t="s">
        <v>17</v>
      </c>
      <c r="L12" s="40" t="s">
        <v>18</v>
      </c>
      <c r="M12" s="41"/>
      <c r="N12" s="41"/>
      <c r="O12" s="42"/>
    </row>
    <row r="13" spans="2:15" ht="42" x14ac:dyDescent="0.4">
      <c r="B13" s="18"/>
      <c r="C13" s="19"/>
      <c r="D13" s="20"/>
      <c r="E13" s="19"/>
      <c r="K13" s="44"/>
      <c r="L13" s="31" t="s">
        <v>19</v>
      </c>
      <c r="M13" s="31" t="s">
        <v>20</v>
      </c>
      <c r="N13" s="31" t="s">
        <v>21</v>
      </c>
      <c r="O13" s="32" t="s">
        <v>22</v>
      </c>
    </row>
    <row r="14" spans="2:15" x14ac:dyDescent="0.4">
      <c r="K14" s="21">
        <v>1</v>
      </c>
      <c r="L14" s="22">
        <v>0.35</v>
      </c>
      <c r="M14" s="22">
        <v>0.24</v>
      </c>
      <c r="N14" s="22">
        <v>0.23</v>
      </c>
      <c r="O14" s="23">
        <v>2.0299999999999998</v>
      </c>
    </row>
    <row r="15" spans="2:15" x14ac:dyDescent="0.4">
      <c r="K15" s="24">
        <v>2</v>
      </c>
      <c r="L15" s="25">
        <v>0.22</v>
      </c>
      <c r="M15" s="25">
        <v>0.16</v>
      </c>
      <c r="N15" s="25">
        <v>0.14000000000000001</v>
      </c>
      <c r="O15" s="26">
        <v>1.27</v>
      </c>
    </row>
    <row r="16" spans="2:15" x14ac:dyDescent="0.4">
      <c r="K16" s="21">
        <v>3</v>
      </c>
      <c r="L16" s="22">
        <v>0.16</v>
      </c>
      <c r="M16" s="22">
        <v>7.0000000000000007E-2</v>
      </c>
      <c r="N16" s="22">
        <v>0.34</v>
      </c>
      <c r="O16" s="23">
        <v>1.02</v>
      </c>
    </row>
    <row r="17" spans="11:15" x14ac:dyDescent="0.4">
      <c r="K17" s="24">
        <v>4</v>
      </c>
      <c r="L17" s="25">
        <v>0.37</v>
      </c>
      <c r="M17" s="25">
        <v>0.18</v>
      </c>
      <c r="N17" s="25">
        <v>0.16</v>
      </c>
      <c r="O17" s="26">
        <v>1.17</v>
      </c>
    </row>
    <row r="18" spans="11:15" x14ac:dyDescent="0.4">
      <c r="K18" s="27">
        <v>5</v>
      </c>
      <c r="L18" s="28">
        <v>0.22</v>
      </c>
      <c r="M18" s="28">
        <v>0.08</v>
      </c>
      <c r="N18" s="28">
        <v>0.15</v>
      </c>
      <c r="O18" s="29">
        <v>2.2999999999999998</v>
      </c>
    </row>
  </sheetData>
  <mergeCells count="6">
    <mergeCell ref="L5:O5"/>
    <mergeCell ref="K11:O11"/>
    <mergeCell ref="L12:O12"/>
    <mergeCell ref="K12:K13"/>
    <mergeCell ref="L6:O6"/>
    <mergeCell ref="L7:O7"/>
  </mergeCells>
  <pageMargins left="0.7" right="0.7" top="0.75" bottom="0.75" header="0.3" footer="0.3"/>
  <pageSetup orientation="portrait" horizontalDpi="90" verticalDpi="9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Problem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Vaca</dc:creator>
  <cp:lastModifiedBy>HEREDIA PEREZ, LAMBDA REMIEL</cp:lastModifiedBy>
  <dcterms:created xsi:type="dcterms:W3CDTF">2022-09-09T02:12:16Z</dcterms:created>
  <dcterms:modified xsi:type="dcterms:W3CDTF">2026-09-21T02:09:08Z</dcterms:modified>
</cp:coreProperties>
</file>